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macen Central\Desktop\CLINICA 2026\ALMACEN\"/>
    </mc:Choice>
  </mc:AlternateContent>
  <bookViews>
    <workbookView xWindow="0" yWindow="0" windowWidth="28800" windowHeight="12030"/>
  </bookViews>
  <sheets>
    <sheet name="DICIEMBRE 2026" sheetId="8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1" i="8" l="1"/>
  <c r="C81" i="8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C6" i="8"/>
  <c r="E81" i="8" l="1"/>
  <c r="E82" i="8" s="1"/>
</calcChain>
</file>

<file path=xl/sharedStrings.xml><?xml version="1.0" encoding="utf-8"?>
<sst xmlns="http://schemas.openxmlformats.org/spreadsheetml/2006/main" count="164" uniqueCount="38">
  <si>
    <t>AUTORIZÓ</t>
  </si>
  <si>
    <t>ELABORÓ</t>
  </si>
  <si>
    <t>TOTALES</t>
  </si>
  <si>
    <t>DICIEMBRE</t>
  </si>
  <si>
    <t>LIMPIEZA</t>
  </si>
  <si>
    <t>REHABILITACIÓN</t>
  </si>
  <si>
    <t>ORTODONCIA</t>
  </si>
  <si>
    <t>ODONTOPEDIATRÍA</t>
  </si>
  <si>
    <t>ENDODONCIA</t>
  </si>
  <si>
    <t>LICENCIATURA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</si>
  <si>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</si>
  <si>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</si>
  <si>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</si>
  <si>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</si>
  <si>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</si>
  <si>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</si>
  <si>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</si>
  <si>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</si>
  <si>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</si>
  <si>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</si>
  <si>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</si>
  <si>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EXISTENCIA FINAL</t>
  </si>
  <si>
    <t>SALIDA</t>
  </si>
  <si>
    <t>ENTRADA</t>
  </si>
  <si>
    <t>MES</t>
  </si>
  <si>
    <t>CONCEPTO</t>
  </si>
  <si>
    <t>512.1.0.006.0000001</t>
  </si>
  <si>
    <t>512.5.0.004.0000001</t>
  </si>
  <si>
    <t>CUENTAS CONTABLES:</t>
  </si>
  <si>
    <t>PROGRAMA:</t>
  </si>
  <si>
    <t>ALMACÉN CLÍNICA ODONTOLÓGICA "DR. BENJAMÍN MORENO PÉREZ"</t>
  </si>
  <si>
    <t>URE:</t>
  </si>
  <si>
    <t>L.A.V. MÓNICA RICO GUTIÉRREZ</t>
  </si>
  <si>
    <t>L.O.E.E. KARLA PAMELA SÁNCHEZ MENDIETA</t>
  </si>
  <si>
    <t>EXISTENCIA INICIAL 2025</t>
  </si>
  <si>
    <t>SALDO FINAL 2025</t>
  </si>
  <si>
    <t>EXISTENCIA INICIAL 2025 MATERIAL DENTAL</t>
  </si>
  <si>
    <t>EXISTENCIA INICIAL 2025 MAT.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</si>
</sst>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b/>
      <sz val="8"/>
      <color rgb="FF000000"/>
      <name val="Arial Narrow"/>
      <family val="2"/>
    </font>
    <font>
      <b/>
      <sz val="10"/>
      <color theme="1"/>
      <name val="Arial Narrow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theme="8" tint="0.59999389629810485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Border="1"/>
    <xf numFmtId="44" fontId="2" fillId="0" borderId="0" xfId="1" applyFont="1" applyBorder="1"/>
    <xf numFmtId="44" fontId="2" fillId="0" borderId="0" xfId="0" applyNumberFormat="1" applyFont="1" applyBorder="1"/>
    <xf numFmtId="44" fontId="2" fillId="0" borderId="0" xfId="0" applyNumberFormat="1" applyFont="1"/>
    <xf numFmtId="44" fontId="3" fillId="0" borderId="7" xfId="0" applyNumberFormat="1" applyFont="1" applyBorder="1"/>
    <xf numFmtId="44" fontId="3" fillId="2" borderId="7" xfId="0" applyNumberFormat="1" applyFont="1" applyFill="1" applyBorder="1"/>
    <xf numFmtId="44" fontId="3" fillId="2" borderId="8" xfId="0" applyNumberFormat="1" applyFont="1" applyFill="1" applyBorder="1"/>
    <xf numFmtId="44" fontId="3" fillId="2" borderId="11" xfId="0" applyNumberFormat="1" applyFont="1" applyFill="1" applyBorder="1"/>
    <xf numFmtId="43" fontId="2" fillId="0" borderId="13" xfId="0" applyNumberFormat="1" applyFont="1" applyBorder="1"/>
    <xf numFmtId="0" fontId="2" fillId="0" borderId="12" xfId="0" applyFont="1" applyBorder="1"/>
    <xf numFmtId="0" fontId="2" fillId="0" borderId="14" xfId="0" applyFont="1" applyBorder="1"/>
    <xf numFmtId="43" fontId="2" fillId="0" borderId="17" xfId="0" applyNumberFormat="1" applyFont="1" applyBorder="1"/>
    <xf numFmtId="0" fontId="2" fillId="0" borderId="16" xfId="0" applyFont="1" applyBorder="1"/>
    <xf numFmtId="0" fontId="2" fillId="0" borderId="17" xfId="0" applyFont="1" applyBorder="1"/>
    <xf numFmtId="43" fontId="2" fillId="3" borderId="17" xfId="0" applyNumberFormat="1" applyFont="1" applyFill="1" applyBorder="1"/>
    <xf numFmtId="43" fontId="5" fillId="0" borderId="17" xfId="0" applyNumberFormat="1" applyFont="1" applyFill="1" applyBorder="1"/>
    <xf numFmtId="43" fontId="2" fillId="0" borderId="17" xfId="0" applyNumberFormat="1" applyFont="1" applyFill="1" applyBorder="1"/>
    <xf numFmtId="43" fontId="5" fillId="0" borderId="17" xfId="0" applyNumberFormat="1" applyFont="1" applyBorder="1"/>
    <xf numFmtId="43" fontId="5" fillId="4" borderId="17" xfId="0" applyNumberFormat="1" applyFont="1" applyFill="1" applyBorder="1"/>
    <xf numFmtId="43" fontId="5" fillId="5" borderId="17" xfId="0" applyNumberFormat="1" applyFont="1" applyFill="1" applyBorder="1"/>
    <xf numFmtId="0" fontId="2" fillId="0" borderId="20" xfId="0" applyFont="1" applyBorder="1"/>
    <xf numFmtId="0" fontId="2" fillId="0" borderId="19" xfId="0" applyFont="1" applyBorder="1"/>
    <xf numFmtId="0" fontId="3" fillId="2" borderId="21" xfId="0" applyFont="1" applyFill="1" applyBorder="1" applyAlignment="1">
      <alignment horizontal="center"/>
    </xf>
    <xf numFmtId="44" fontId="3" fillId="0" borderId="0" xfId="1" applyFont="1" applyFill="1" applyBorder="1"/>
    <xf numFmtId="0" fontId="3" fillId="0" borderId="0" xfId="0" applyFont="1"/>
    <xf numFmtId="44" fontId="3" fillId="0" borderId="0" xfId="1" applyNumberFormat="1" applyFont="1" applyFill="1" applyBorder="1"/>
    <xf numFmtId="0" fontId="3" fillId="0" borderId="7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44" fontId="2" fillId="0" borderId="0" xfId="0" applyNumberFormat="1" applyFont="1" applyBorder="1" applyAlignment="1"/>
    <xf numFmtId="0" fontId="4" fillId="0" borderId="0" xfId="0" applyFont="1" applyBorder="1" applyAlignment="1"/>
    <xf numFmtId="0" fontId="6" fillId="0" borderId="0" xfId="0" applyFont="1" applyFill="1" applyBorder="1" applyAlignment="1"/>
    <xf numFmtId="43" fontId="2" fillId="0" borderId="15" xfId="0" applyNumberFormat="1" applyFont="1" applyBorder="1"/>
    <xf numFmtId="43" fontId="2" fillId="0" borderId="18" xfId="0" applyNumberFormat="1" applyFont="1" applyBorder="1"/>
    <xf numFmtId="43" fontId="8" fillId="0" borderId="17" xfId="0" applyNumberFormat="1" applyFont="1" applyBorder="1"/>
    <xf numFmtId="43" fontId="8" fillId="0" borderId="17" xfId="0" applyNumberFormat="1" applyFont="1" applyFill="1" applyBorder="1"/>
    <xf numFmtId="43" fontId="2" fillId="0" borderId="17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/>
    </xf>
    <xf numFmtId="43" fontId="2" fillId="0" borderId="19" xfId="0" applyNumberFormat="1" applyFont="1" applyFill="1" applyBorder="1" applyAlignment="1">
      <alignment horizontal="right" vertical="center"/>
    </xf>
    <xf numFmtId="43" fontId="2" fillId="0" borderId="19" xfId="0" applyNumberFormat="1" applyFont="1" applyFill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4" fontId="3" fillId="0" borderId="21" xfId="0" applyNumberFormat="1" applyFont="1" applyBorder="1" applyAlignment="1">
      <alignment horizontal="center" vertical="center"/>
    </xf>
    <xf numFmtId="44" fontId="3" fillId="0" borderId="2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4" fontId="7" fillId="0" borderId="1" xfId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1"/>
  <sheetViews>
    <sheetView tabSelected="1" topLeftCell="A6" workbookViewId="0">
      <selection activeCell="K75" sqref="K75"/>
    </sheetView>
  </sheetViews>
  <sheetFormatPr baseColWidth="10" defaultRowHeight="12.75" x14ac:dyDescent="0.25"/>
  <cols>
    <col min="1" max="1" width="31.85546875" style="1" bestFit="1" customWidth="1"/>
    <col min="2" max="2" width="15.140625" style="1" customWidth="1"/>
    <col min="3" max="3" width="16.42578125" style="2" customWidth="1"/>
    <col min="4" max="5" width="16.42578125" style="1" customWidth="1"/>
    <col min="6" max="6" width="14.28515625" style="1" customWidth="1"/>
    <col min="7" max="16384" width="11.42578125" style="1"/>
  </cols>
  <sheetData>
    <row r="1" spans="1:6" ht="13.5" thickBot="1" x14ac:dyDescent="0.3"/>
    <row r="2" spans="1:6" ht="13.5" thickBot="1" x14ac:dyDescent="0.3">
      <c r="A2" s="45" t="s">
        <v>34</v>
      </c>
      <c r="B2" s="46"/>
      <c r="C2" s="46"/>
      <c r="D2" s="47">
        <v>3586818.34</v>
      </c>
      <c r="E2" s="31" t="s">
        <v>31</v>
      </c>
      <c r="F2" s="28">
        <v>1207</v>
      </c>
    </row>
    <row r="3" spans="1:6" ht="13.5" thickBot="1" x14ac:dyDescent="0.3">
      <c r="A3" s="49" t="s">
        <v>30</v>
      </c>
      <c r="B3" s="50"/>
      <c r="C3" s="50"/>
      <c r="D3" s="48"/>
      <c r="E3" s="29" t="s">
        <v>29</v>
      </c>
      <c r="F3" s="30">
        <v>1080283</v>
      </c>
    </row>
    <row r="4" spans="1:6" ht="13.5" thickBot="1" x14ac:dyDescent="0.3">
      <c r="A4" s="1" t="s">
        <v>36</v>
      </c>
      <c r="C4" s="5">
        <v>3505488.14</v>
      </c>
      <c r="E4" s="29" t="s">
        <v>28</v>
      </c>
      <c r="F4" s="28" t="s">
        <v>27</v>
      </c>
    </row>
    <row r="5" spans="1:6" ht="13.5" thickBot="1" x14ac:dyDescent="0.3">
      <c r="A5" s="1" t="s">
        <v>37</v>
      </c>
      <c r="C5" s="5">
        <v>81330.2</v>
      </c>
      <c r="F5" s="28" t="s">
        <v>26</v>
      </c>
    </row>
    <row r="6" spans="1:6" x14ac:dyDescent="0.25">
      <c r="A6" s="26"/>
      <c r="C6" s="27">
        <f>SUBTOTAL(109,C4:C5)</f>
        <v>3586818.3400000003</v>
      </c>
    </row>
    <row r="7" spans="1:6" ht="13.5" thickBot="1" x14ac:dyDescent="0.3">
      <c r="A7" s="26"/>
      <c r="D7" s="25"/>
    </row>
    <row r="8" spans="1:6" ht="13.5" thickBot="1" x14ac:dyDescent="0.3">
      <c r="A8" s="24" t="s">
        <v>25</v>
      </c>
      <c r="B8" s="43" t="s">
        <v>24</v>
      </c>
      <c r="C8" s="24" t="s">
        <v>23</v>
      </c>
      <c r="D8" s="40" t="s">
        <v>22</v>
      </c>
      <c r="E8" s="24" t="s">
        <v>21</v>
      </c>
      <c r="F8" s="34"/>
    </row>
    <row r="9" spans="1:6" x14ac:dyDescent="0.25">
      <c r="A9" s="23" t="s">
        <v>9</v>
      </c>
      <c r="B9" s="22" t="s">
        <v>20</v>
      </c>
      <c r="C9" s="41">
        <v>0</v>
      </c>
      <c r="D9" s="42">
        <v>76507.429999999993</v>
      </c>
      <c r="E9" s="36">
        <f>D2+C9-D9</f>
        <v>3510310.9099999997</v>
      </c>
      <c r="F9" s="32"/>
    </row>
    <row r="10" spans="1:6" x14ac:dyDescent="0.25">
      <c r="A10" s="15" t="s">
        <v>8</v>
      </c>
      <c r="B10" s="14" t="s">
        <v>20</v>
      </c>
      <c r="C10" s="39">
        <v>0</v>
      </c>
      <c r="D10" s="39">
        <v>24834.23</v>
      </c>
      <c r="E10" s="35">
        <f t="shared" ref="E10:E49" si="0">E9+C10-D10</f>
        <v>3485476.6799999997</v>
      </c>
      <c r="F10" s="32"/>
    </row>
    <row r="11" spans="1:6" x14ac:dyDescent="0.25">
      <c r="A11" s="15" t="s">
        <v>7</v>
      </c>
      <c r="B11" s="14" t="s">
        <v>20</v>
      </c>
      <c r="C11" s="39">
        <v>0</v>
      </c>
      <c r="D11" s="39">
        <v>9252.3799999999992</v>
      </c>
      <c r="E11" s="35">
        <f t="shared" si="0"/>
        <v>3476224.3</v>
      </c>
      <c r="F11" s="32"/>
    </row>
    <row r="12" spans="1:6" x14ac:dyDescent="0.25">
      <c r="A12" s="15" t="s">
        <v>6</v>
      </c>
      <c r="B12" s="14" t="s">
        <v>20</v>
      </c>
      <c r="C12" s="39">
        <v>0</v>
      </c>
      <c r="D12" s="39">
        <v>86707.26</v>
      </c>
      <c r="E12" s="35">
        <f t="shared" si="0"/>
        <v>3389517.04</v>
      </c>
      <c r="F12" s="32"/>
    </row>
    <row r="13" spans="1:6" x14ac:dyDescent="0.25">
      <c r="A13" s="15" t="s">
        <v>5</v>
      </c>
      <c r="B13" s="14" t="s">
        <v>20</v>
      </c>
      <c r="C13" s="39">
        <v>0</v>
      </c>
      <c r="D13" s="39">
        <v>18600.91</v>
      </c>
      <c r="E13" s="35">
        <f t="shared" si="0"/>
        <v>3370916.13</v>
      </c>
      <c r="F13" s="32"/>
    </row>
    <row r="14" spans="1:6" x14ac:dyDescent="0.25">
      <c r="A14" s="15" t="s">
        <v>4</v>
      </c>
      <c r="B14" s="14" t="s">
        <v>20</v>
      </c>
      <c r="C14" s="39">
        <v>0</v>
      </c>
      <c r="D14" s="39">
        <v>15218.91</v>
      </c>
      <c r="E14" s="35">
        <f t="shared" si="0"/>
        <v>3355697.2199999997</v>
      </c>
      <c r="F14" s="32"/>
    </row>
    <row r="15" spans="1:6" x14ac:dyDescent="0.25">
      <c r="A15" s="15" t="s">
        <v>9</v>
      </c>
      <c r="B15" s="14" t="s">
        <v>19</v>
      </c>
      <c r="C15" s="18">
        <v>26276.32</v>
      </c>
      <c r="D15" s="17">
        <v>109461.04</v>
      </c>
      <c r="E15" s="35">
        <f t="shared" si="0"/>
        <v>3272512.4999999995</v>
      </c>
      <c r="F15" s="32"/>
    </row>
    <row r="16" spans="1:6" x14ac:dyDescent="0.25">
      <c r="A16" s="15" t="s">
        <v>8</v>
      </c>
      <c r="B16" s="14" t="s">
        <v>19</v>
      </c>
      <c r="C16" s="18">
        <v>0</v>
      </c>
      <c r="D16" s="17">
        <v>16755.919999999998</v>
      </c>
      <c r="E16" s="35">
        <f t="shared" si="0"/>
        <v>3255756.5799999996</v>
      </c>
      <c r="F16" s="32"/>
    </row>
    <row r="17" spans="1:6" x14ac:dyDescent="0.25">
      <c r="A17" s="15" t="s">
        <v>7</v>
      </c>
      <c r="B17" s="14" t="s">
        <v>19</v>
      </c>
      <c r="C17" s="18">
        <v>19785.8</v>
      </c>
      <c r="D17" s="17">
        <v>30243.55</v>
      </c>
      <c r="E17" s="35">
        <f t="shared" si="0"/>
        <v>3245298.8299999996</v>
      </c>
      <c r="F17" s="32"/>
    </row>
    <row r="18" spans="1:6" x14ac:dyDescent="0.25">
      <c r="A18" s="15" t="s">
        <v>6</v>
      </c>
      <c r="B18" s="14" t="s">
        <v>19</v>
      </c>
      <c r="C18" s="18">
        <v>0</v>
      </c>
      <c r="D18" s="17">
        <v>26067.71</v>
      </c>
      <c r="E18" s="35">
        <f t="shared" si="0"/>
        <v>3219231.1199999996</v>
      </c>
      <c r="F18" s="32"/>
    </row>
    <row r="19" spans="1:6" x14ac:dyDescent="0.25">
      <c r="A19" s="15" t="s">
        <v>5</v>
      </c>
      <c r="B19" s="14" t="s">
        <v>19</v>
      </c>
      <c r="C19" s="18">
        <v>0</v>
      </c>
      <c r="D19" s="17">
        <v>39414.47</v>
      </c>
      <c r="E19" s="35">
        <f t="shared" si="0"/>
        <v>3179816.6499999994</v>
      </c>
      <c r="F19" s="32"/>
    </row>
    <row r="20" spans="1:6" x14ac:dyDescent="0.25">
      <c r="A20" s="15" t="s">
        <v>4</v>
      </c>
      <c r="B20" s="14" t="s">
        <v>19</v>
      </c>
      <c r="C20" s="18">
        <v>0</v>
      </c>
      <c r="D20" s="17">
        <v>16204.45</v>
      </c>
      <c r="E20" s="35">
        <f t="shared" si="0"/>
        <v>3163612.1999999993</v>
      </c>
      <c r="F20" s="32"/>
    </row>
    <row r="21" spans="1:6" x14ac:dyDescent="0.25">
      <c r="A21" s="15" t="s">
        <v>9</v>
      </c>
      <c r="B21" s="14" t="s">
        <v>18</v>
      </c>
      <c r="C21" s="13">
        <v>147791.56</v>
      </c>
      <c r="D21" s="13">
        <v>152570.51</v>
      </c>
      <c r="E21" s="35">
        <f t="shared" si="0"/>
        <v>3158833.2499999991</v>
      </c>
      <c r="F21" s="32"/>
    </row>
    <row r="22" spans="1:6" x14ac:dyDescent="0.25">
      <c r="A22" s="15" t="s">
        <v>8</v>
      </c>
      <c r="B22" s="14" t="s">
        <v>18</v>
      </c>
      <c r="C22" s="13">
        <v>20033.2</v>
      </c>
      <c r="D22" s="13">
        <v>36928.29</v>
      </c>
      <c r="E22" s="35">
        <f t="shared" si="0"/>
        <v>3141938.1599999992</v>
      </c>
      <c r="F22" s="32"/>
    </row>
    <row r="23" spans="1:6" x14ac:dyDescent="0.25">
      <c r="A23" s="15" t="s">
        <v>7</v>
      </c>
      <c r="B23" s="14" t="s">
        <v>18</v>
      </c>
      <c r="C23" s="13">
        <v>14940.8</v>
      </c>
      <c r="D23" s="13">
        <v>35383.29</v>
      </c>
      <c r="E23" s="35">
        <f t="shared" si="0"/>
        <v>3121495.669999999</v>
      </c>
      <c r="F23" s="32"/>
    </row>
    <row r="24" spans="1:6" x14ac:dyDescent="0.25">
      <c r="A24" s="15" t="s">
        <v>6</v>
      </c>
      <c r="B24" s="14" t="s">
        <v>18</v>
      </c>
      <c r="C24" s="13">
        <v>0</v>
      </c>
      <c r="D24" s="13">
        <v>57723.13</v>
      </c>
      <c r="E24" s="35">
        <f t="shared" si="0"/>
        <v>3063772.5399999991</v>
      </c>
      <c r="F24" s="32"/>
    </row>
    <row r="25" spans="1:6" x14ac:dyDescent="0.25">
      <c r="A25" s="15" t="s">
        <v>5</v>
      </c>
      <c r="B25" s="14" t="s">
        <v>18</v>
      </c>
      <c r="C25" s="13">
        <v>19407.96</v>
      </c>
      <c r="D25" s="13">
        <v>58249.78</v>
      </c>
      <c r="E25" s="35">
        <f t="shared" si="0"/>
        <v>3024930.7199999993</v>
      </c>
      <c r="F25" s="32"/>
    </row>
    <row r="26" spans="1:6" x14ac:dyDescent="0.25">
      <c r="A26" s="15" t="s">
        <v>4</v>
      </c>
      <c r="B26" s="14" t="s">
        <v>18</v>
      </c>
      <c r="C26" s="13">
        <v>0</v>
      </c>
      <c r="D26" s="13">
        <v>16069.71</v>
      </c>
      <c r="E26" s="35">
        <f t="shared" si="0"/>
        <v>3008861.0099999993</v>
      </c>
      <c r="F26" s="32"/>
    </row>
    <row r="27" spans="1:6" x14ac:dyDescent="0.25">
      <c r="A27" s="15" t="s">
        <v>9</v>
      </c>
      <c r="B27" s="14" t="s">
        <v>17</v>
      </c>
      <c r="C27" s="16">
        <v>129676.46</v>
      </c>
      <c r="D27" s="21">
        <v>76289.87</v>
      </c>
      <c r="E27" s="35">
        <f t="shared" si="0"/>
        <v>3062247.5999999992</v>
      </c>
      <c r="F27" s="32"/>
    </row>
    <row r="28" spans="1:6" x14ac:dyDescent="0.25">
      <c r="A28" s="15" t="s">
        <v>8</v>
      </c>
      <c r="B28" s="14" t="s">
        <v>17</v>
      </c>
      <c r="C28" s="16">
        <v>18212</v>
      </c>
      <c r="D28" s="20">
        <v>13456.33</v>
      </c>
      <c r="E28" s="35">
        <f t="shared" si="0"/>
        <v>3067003.2699999991</v>
      </c>
      <c r="F28" s="32"/>
    </row>
    <row r="29" spans="1:6" x14ac:dyDescent="0.25">
      <c r="A29" s="15" t="s">
        <v>7</v>
      </c>
      <c r="B29" s="14" t="s">
        <v>17</v>
      </c>
      <c r="C29" s="16">
        <v>0</v>
      </c>
      <c r="D29" s="21">
        <v>8689.36</v>
      </c>
      <c r="E29" s="35">
        <f t="shared" si="0"/>
        <v>3058313.9099999992</v>
      </c>
      <c r="F29" s="32"/>
    </row>
    <row r="30" spans="1:6" x14ac:dyDescent="0.25">
      <c r="A30" s="15" t="s">
        <v>6</v>
      </c>
      <c r="B30" s="14" t="s">
        <v>17</v>
      </c>
      <c r="C30" s="16">
        <v>121568.09</v>
      </c>
      <c r="D30" s="20">
        <v>34451.4</v>
      </c>
      <c r="E30" s="35">
        <f t="shared" si="0"/>
        <v>3145430.5999999992</v>
      </c>
      <c r="F30" s="32"/>
    </row>
    <row r="31" spans="1:6" x14ac:dyDescent="0.25">
      <c r="A31" s="15" t="s">
        <v>5</v>
      </c>
      <c r="B31" s="14" t="s">
        <v>17</v>
      </c>
      <c r="C31" s="16">
        <v>4667.84</v>
      </c>
      <c r="D31" s="21">
        <v>18372.18</v>
      </c>
      <c r="E31" s="35">
        <f t="shared" si="0"/>
        <v>3131726.2599999988</v>
      </c>
      <c r="F31" s="32"/>
    </row>
    <row r="32" spans="1:6" x14ac:dyDescent="0.25">
      <c r="A32" s="15" t="s">
        <v>4</v>
      </c>
      <c r="B32" s="14" t="s">
        <v>17</v>
      </c>
      <c r="C32" s="18">
        <v>0</v>
      </c>
      <c r="D32" s="20">
        <v>4168.05</v>
      </c>
      <c r="E32" s="35">
        <f t="shared" si="0"/>
        <v>3127558.209999999</v>
      </c>
      <c r="F32" s="32"/>
    </row>
    <row r="33" spans="1:6" x14ac:dyDescent="0.25">
      <c r="A33" s="15" t="s">
        <v>9</v>
      </c>
      <c r="B33" s="14" t="s">
        <v>16</v>
      </c>
      <c r="C33" s="18">
        <v>528821.66</v>
      </c>
      <c r="D33" s="19">
        <v>195021.67</v>
      </c>
      <c r="E33" s="35">
        <f t="shared" si="0"/>
        <v>3461358.1999999993</v>
      </c>
      <c r="F33" s="32"/>
    </row>
    <row r="34" spans="1:6" x14ac:dyDescent="0.25">
      <c r="A34" s="15" t="s">
        <v>8</v>
      </c>
      <c r="B34" s="14" t="s">
        <v>16</v>
      </c>
      <c r="C34" s="18">
        <v>169886.43</v>
      </c>
      <c r="D34" s="19">
        <v>24474.32</v>
      </c>
      <c r="E34" s="35">
        <f t="shared" si="0"/>
        <v>3606770.3099999996</v>
      </c>
      <c r="F34" s="32"/>
    </row>
    <row r="35" spans="1:6" x14ac:dyDescent="0.25">
      <c r="A35" s="15" t="s">
        <v>7</v>
      </c>
      <c r="B35" s="14" t="s">
        <v>16</v>
      </c>
      <c r="C35" s="18">
        <v>156079.81</v>
      </c>
      <c r="D35" s="19">
        <v>43745.31</v>
      </c>
      <c r="E35" s="35">
        <f t="shared" si="0"/>
        <v>3719104.8099999996</v>
      </c>
      <c r="F35" s="32"/>
    </row>
    <row r="36" spans="1:6" x14ac:dyDescent="0.25">
      <c r="A36" s="15" t="s">
        <v>6</v>
      </c>
      <c r="B36" s="14" t="s">
        <v>16</v>
      </c>
      <c r="C36" s="18">
        <v>275193.52</v>
      </c>
      <c r="D36" s="19">
        <v>149034.35999999999</v>
      </c>
      <c r="E36" s="35">
        <f t="shared" si="0"/>
        <v>3845263.9699999997</v>
      </c>
      <c r="F36" s="32"/>
    </row>
    <row r="37" spans="1:6" x14ac:dyDescent="0.25">
      <c r="A37" s="15" t="s">
        <v>5</v>
      </c>
      <c r="B37" s="14" t="s">
        <v>16</v>
      </c>
      <c r="C37" s="18">
        <v>87449.36</v>
      </c>
      <c r="D37" s="19">
        <v>51524.74</v>
      </c>
      <c r="E37" s="35">
        <f t="shared" si="0"/>
        <v>3881188.5899999994</v>
      </c>
      <c r="F37" s="32"/>
    </row>
    <row r="38" spans="1:6" x14ac:dyDescent="0.25">
      <c r="A38" s="15" t="s">
        <v>4</v>
      </c>
      <c r="B38" s="14" t="s">
        <v>16</v>
      </c>
      <c r="C38" s="18">
        <v>0</v>
      </c>
      <c r="D38" s="19">
        <v>12252.32</v>
      </c>
      <c r="E38" s="35">
        <f t="shared" si="0"/>
        <v>3868936.2699999996</v>
      </c>
      <c r="F38" s="32"/>
    </row>
    <row r="39" spans="1:6" x14ac:dyDescent="0.25">
      <c r="A39" s="15" t="s">
        <v>9</v>
      </c>
      <c r="B39" s="14" t="s">
        <v>15</v>
      </c>
      <c r="C39" s="37">
        <v>58129.93</v>
      </c>
      <c r="D39" s="37">
        <v>54988.31</v>
      </c>
      <c r="E39" s="35">
        <f t="shared" si="0"/>
        <v>3872077.8899999997</v>
      </c>
      <c r="F39" s="32"/>
    </row>
    <row r="40" spans="1:6" x14ac:dyDescent="0.25">
      <c r="A40" s="15" t="s">
        <v>8</v>
      </c>
      <c r="B40" s="14" t="s">
        <v>15</v>
      </c>
      <c r="C40" s="38">
        <v>0</v>
      </c>
      <c r="D40" s="37">
        <v>1238.93</v>
      </c>
      <c r="E40" s="35">
        <f t="shared" si="0"/>
        <v>3870838.9599999995</v>
      </c>
      <c r="F40" s="32"/>
    </row>
    <row r="41" spans="1:6" x14ac:dyDescent="0.25">
      <c r="A41" s="15" t="s">
        <v>7</v>
      </c>
      <c r="B41" s="14" t="s">
        <v>15</v>
      </c>
      <c r="C41" s="37">
        <v>0</v>
      </c>
      <c r="D41" s="37">
        <v>13437.03</v>
      </c>
      <c r="E41" s="35">
        <f t="shared" si="0"/>
        <v>3857401.9299999997</v>
      </c>
      <c r="F41" s="32"/>
    </row>
    <row r="42" spans="1:6" x14ac:dyDescent="0.25">
      <c r="A42" s="15" t="s">
        <v>6</v>
      </c>
      <c r="B42" s="14" t="s">
        <v>15</v>
      </c>
      <c r="C42" s="37">
        <v>0</v>
      </c>
      <c r="D42" s="37">
        <v>49894.85</v>
      </c>
      <c r="E42" s="35">
        <f t="shared" si="0"/>
        <v>3807507.0799999996</v>
      </c>
      <c r="F42" s="32"/>
    </row>
    <row r="43" spans="1:6" x14ac:dyDescent="0.25">
      <c r="A43" s="15" t="s">
        <v>5</v>
      </c>
      <c r="B43" s="14" t="s">
        <v>15</v>
      </c>
      <c r="C43" s="37">
        <v>0</v>
      </c>
      <c r="D43" s="37">
        <v>25321.119999999999</v>
      </c>
      <c r="E43" s="35">
        <f t="shared" si="0"/>
        <v>3782185.9599999995</v>
      </c>
      <c r="F43" s="32"/>
    </row>
    <row r="44" spans="1:6" x14ac:dyDescent="0.25">
      <c r="A44" s="15" t="s">
        <v>4</v>
      </c>
      <c r="B44" s="14" t="s">
        <v>15</v>
      </c>
      <c r="C44" s="37">
        <v>60313.04</v>
      </c>
      <c r="D44" s="37">
        <v>2260.61</v>
      </c>
      <c r="E44" s="35">
        <f t="shared" si="0"/>
        <v>3840238.3899999997</v>
      </c>
      <c r="F44" s="32"/>
    </row>
    <row r="45" spans="1:6" x14ac:dyDescent="0.25">
      <c r="A45" s="15" t="s">
        <v>9</v>
      </c>
      <c r="B45" s="14" t="s">
        <v>14</v>
      </c>
      <c r="C45" s="16">
        <v>591782.75</v>
      </c>
      <c r="D45" s="17">
        <v>4322.7</v>
      </c>
      <c r="E45" s="35">
        <f t="shared" si="0"/>
        <v>4427698.4399999995</v>
      </c>
      <c r="F45" s="32"/>
    </row>
    <row r="46" spans="1:6" x14ac:dyDescent="0.25">
      <c r="A46" s="15" t="s">
        <v>8</v>
      </c>
      <c r="B46" s="14" t="s">
        <v>14</v>
      </c>
      <c r="C46" s="16">
        <v>51775.6</v>
      </c>
      <c r="D46" s="17">
        <v>0</v>
      </c>
      <c r="E46" s="35">
        <f t="shared" si="0"/>
        <v>4479474.0399999991</v>
      </c>
      <c r="F46" s="32"/>
    </row>
    <row r="47" spans="1:6" x14ac:dyDescent="0.25">
      <c r="A47" s="15" t="s">
        <v>7</v>
      </c>
      <c r="B47" s="14" t="s">
        <v>14</v>
      </c>
      <c r="C47" s="16">
        <v>51355.73</v>
      </c>
      <c r="D47" s="17">
        <v>0</v>
      </c>
      <c r="E47" s="35">
        <f t="shared" si="0"/>
        <v>4530829.7699999996</v>
      </c>
      <c r="F47" s="32"/>
    </row>
    <row r="48" spans="1:6" x14ac:dyDescent="0.25">
      <c r="A48" s="15" t="s">
        <v>6</v>
      </c>
      <c r="B48" s="14" t="s">
        <v>14</v>
      </c>
      <c r="C48" s="16">
        <v>305484.28999999998</v>
      </c>
      <c r="D48" s="17">
        <v>0</v>
      </c>
      <c r="E48" s="35">
        <f t="shared" si="0"/>
        <v>4836314.0599999996</v>
      </c>
      <c r="F48" s="32"/>
    </row>
    <row r="49" spans="1:10" x14ac:dyDescent="0.25">
      <c r="A49" s="15" t="s">
        <v>5</v>
      </c>
      <c r="B49" s="14" t="s">
        <v>14</v>
      </c>
      <c r="C49" s="16">
        <v>48817.42</v>
      </c>
      <c r="D49" s="17">
        <v>0</v>
      </c>
      <c r="E49" s="35">
        <f t="shared" si="0"/>
        <v>4885131.4799999995</v>
      </c>
      <c r="F49" s="32"/>
    </row>
    <row r="50" spans="1:10" x14ac:dyDescent="0.25">
      <c r="A50" s="15" t="s">
        <v>4</v>
      </c>
      <c r="B50" s="14" t="s">
        <v>14</v>
      </c>
      <c r="C50" s="16">
        <v>0</v>
      </c>
      <c r="D50" s="17">
        <v>44535.65</v>
      </c>
      <c r="E50" s="35">
        <f>E49+C50-D50</f>
        <v>4840595.8299999991</v>
      </c>
      <c r="F50" s="32"/>
    </row>
    <row r="51" spans="1:10" x14ac:dyDescent="0.25">
      <c r="A51" s="15" t="s">
        <v>9</v>
      </c>
      <c r="B51" s="14" t="s">
        <v>13</v>
      </c>
      <c r="C51" s="13">
        <v>22620</v>
      </c>
      <c r="D51" s="17">
        <v>113714.16</v>
      </c>
      <c r="E51" s="35">
        <f t="shared" ref="E51:E80" si="1">E50+C51-D51</f>
        <v>4749501.669999999</v>
      </c>
      <c r="F51" s="32"/>
    </row>
    <row r="52" spans="1:10" ht="15" x14ac:dyDescent="0.25">
      <c r="A52" s="15" t="s">
        <v>8</v>
      </c>
      <c r="B52" s="14" t="s">
        <v>13</v>
      </c>
      <c r="C52" s="13">
        <v>0</v>
      </c>
      <c r="D52" s="17">
        <v>22875.05</v>
      </c>
      <c r="E52" s="35">
        <f t="shared" si="1"/>
        <v>4726626.6199999992</v>
      </c>
      <c r="F52" s="32"/>
      <c r="H52"/>
    </row>
    <row r="53" spans="1:10" ht="15" x14ac:dyDescent="0.25">
      <c r="A53" s="15" t="s">
        <v>7</v>
      </c>
      <c r="B53" s="14" t="s">
        <v>13</v>
      </c>
      <c r="C53" s="13">
        <v>0</v>
      </c>
      <c r="D53" s="17">
        <v>30998.58</v>
      </c>
      <c r="E53" s="35">
        <f t="shared" si="1"/>
        <v>4695628.0399999991</v>
      </c>
      <c r="F53" s="32"/>
      <c r="H53"/>
    </row>
    <row r="54" spans="1:10" ht="15" x14ac:dyDescent="0.25">
      <c r="A54" s="15" t="s">
        <v>6</v>
      </c>
      <c r="B54" s="14" t="s">
        <v>13</v>
      </c>
      <c r="C54" s="13">
        <v>39600</v>
      </c>
      <c r="D54" s="17">
        <v>72304.899999999994</v>
      </c>
      <c r="E54" s="35">
        <f t="shared" si="1"/>
        <v>4662923.1399999987</v>
      </c>
      <c r="F54" s="32"/>
      <c r="H54"/>
    </row>
    <row r="55" spans="1:10" ht="15" x14ac:dyDescent="0.25">
      <c r="A55" s="15" t="s">
        <v>5</v>
      </c>
      <c r="B55" s="14" t="s">
        <v>13</v>
      </c>
      <c r="C55" s="13">
        <v>0</v>
      </c>
      <c r="D55" s="17">
        <v>62775.41</v>
      </c>
      <c r="E55" s="35">
        <f t="shared" si="1"/>
        <v>4600147.7299999986</v>
      </c>
      <c r="F55" s="32"/>
      <c r="H55"/>
    </row>
    <row r="56" spans="1:10" ht="15" x14ac:dyDescent="0.25">
      <c r="A56" s="15" t="s">
        <v>4</v>
      </c>
      <c r="B56" s="14" t="s">
        <v>13</v>
      </c>
      <c r="C56" s="13">
        <v>4375.5200000000004</v>
      </c>
      <c r="D56" s="17">
        <v>15473.36</v>
      </c>
      <c r="E56" s="35">
        <f t="shared" si="1"/>
        <v>4589049.8899999978</v>
      </c>
      <c r="F56" s="32"/>
      <c r="H56"/>
    </row>
    <row r="57" spans="1:10" ht="15" x14ac:dyDescent="0.25">
      <c r="A57" s="15" t="s">
        <v>9</v>
      </c>
      <c r="B57" s="14" t="s">
        <v>12</v>
      </c>
      <c r="C57" s="39">
        <v>101705.52</v>
      </c>
      <c r="D57" s="18">
        <v>186919.88</v>
      </c>
      <c r="E57" s="35">
        <f t="shared" si="1"/>
        <v>4503835.5299999975</v>
      </c>
      <c r="F57" s="32"/>
      <c r="H57"/>
    </row>
    <row r="58" spans="1:10" ht="15" x14ac:dyDescent="0.25">
      <c r="A58" s="15" t="s">
        <v>8</v>
      </c>
      <c r="B58" s="14" t="s">
        <v>12</v>
      </c>
      <c r="C58" s="39">
        <v>0</v>
      </c>
      <c r="D58" s="39">
        <v>19078.830000000002</v>
      </c>
      <c r="E58" s="35">
        <f t="shared" si="1"/>
        <v>4484756.6999999974</v>
      </c>
      <c r="F58" s="32"/>
      <c r="H58"/>
    </row>
    <row r="59" spans="1:10" ht="15" x14ac:dyDescent="0.25">
      <c r="A59" s="15" t="s">
        <v>7</v>
      </c>
      <c r="B59" s="14" t="s">
        <v>12</v>
      </c>
      <c r="C59" s="39">
        <v>27138.2</v>
      </c>
      <c r="D59" s="39">
        <v>31121.18</v>
      </c>
      <c r="E59" s="35">
        <f t="shared" si="1"/>
        <v>4480773.7199999979</v>
      </c>
      <c r="F59" s="32"/>
      <c r="I59"/>
      <c r="J59"/>
    </row>
    <row r="60" spans="1:10" ht="15" x14ac:dyDescent="0.25">
      <c r="A60" s="15" t="s">
        <v>6</v>
      </c>
      <c r="B60" s="14" t="s">
        <v>12</v>
      </c>
      <c r="C60" s="39">
        <v>12760</v>
      </c>
      <c r="D60" s="39">
        <v>79480.19</v>
      </c>
      <c r="E60" s="35">
        <f t="shared" si="1"/>
        <v>4414053.5299999975</v>
      </c>
      <c r="F60" s="32"/>
      <c r="I60"/>
      <c r="J60"/>
    </row>
    <row r="61" spans="1:10" ht="15" x14ac:dyDescent="0.25">
      <c r="A61" s="15" t="s">
        <v>5</v>
      </c>
      <c r="B61" s="14" t="s">
        <v>12</v>
      </c>
      <c r="C61" s="39">
        <v>30363</v>
      </c>
      <c r="D61" s="39">
        <v>15443.18</v>
      </c>
      <c r="E61" s="35">
        <f t="shared" si="1"/>
        <v>4428973.3499999978</v>
      </c>
      <c r="F61" s="32"/>
      <c r="I61"/>
      <c r="J61"/>
    </row>
    <row r="62" spans="1:10" ht="15" x14ac:dyDescent="0.25">
      <c r="A62" s="15" t="s">
        <v>4</v>
      </c>
      <c r="B62" s="14" t="s">
        <v>12</v>
      </c>
      <c r="C62" s="39">
        <v>158059.28</v>
      </c>
      <c r="D62" s="39">
        <v>26318.66</v>
      </c>
      <c r="E62" s="35">
        <f t="shared" si="1"/>
        <v>4560713.9699999979</v>
      </c>
      <c r="F62" s="32"/>
      <c r="I62"/>
      <c r="J62"/>
    </row>
    <row r="63" spans="1:10" ht="15" x14ac:dyDescent="0.25">
      <c r="A63" s="15" t="s">
        <v>9</v>
      </c>
      <c r="B63" s="14" t="s">
        <v>11</v>
      </c>
      <c r="C63" s="16">
        <v>17748.8</v>
      </c>
      <c r="D63" s="13">
        <v>166096.18</v>
      </c>
      <c r="E63" s="35">
        <f t="shared" si="1"/>
        <v>4412366.589999998</v>
      </c>
      <c r="F63" s="32"/>
      <c r="I63"/>
    </row>
    <row r="64" spans="1:10" ht="15" x14ac:dyDescent="0.25">
      <c r="A64" s="15" t="s">
        <v>8</v>
      </c>
      <c r="B64" s="14" t="s">
        <v>11</v>
      </c>
      <c r="C64" s="16">
        <v>0</v>
      </c>
      <c r="D64" s="13">
        <v>9330.59</v>
      </c>
      <c r="E64" s="35">
        <f t="shared" si="1"/>
        <v>4403035.9999999981</v>
      </c>
      <c r="F64" s="32"/>
      <c r="I64"/>
    </row>
    <row r="65" spans="1:9" ht="15" x14ac:dyDescent="0.25">
      <c r="A65" s="15" t="s">
        <v>7</v>
      </c>
      <c r="B65" s="14" t="s">
        <v>11</v>
      </c>
      <c r="C65" s="16">
        <v>14354</v>
      </c>
      <c r="D65" s="13">
        <v>45015.7</v>
      </c>
      <c r="E65" s="35">
        <f t="shared" si="1"/>
        <v>4372374.299999998</v>
      </c>
      <c r="F65" s="32"/>
      <c r="I65"/>
    </row>
    <row r="66" spans="1:9" ht="15" x14ac:dyDescent="0.25">
      <c r="A66" s="15" t="s">
        <v>6</v>
      </c>
      <c r="B66" s="14" t="s">
        <v>11</v>
      </c>
      <c r="C66" s="16">
        <v>111646.06</v>
      </c>
      <c r="D66" s="13">
        <v>70492.490000000005</v>
      </c>
      <c r="E66" s="35">
        <f t="shared" si="1"/>
        <v>4413527.8699999973</v>
      </c>
      <c r="F66" s="32"/>
      <c r="I66"/>
    </row>
    <row r="67" spans="1:9" ht="15" x14ac:dyDescent="0.25">
      <c r="A67" s="15" t="s">
        <v>5</v>
      </c>
      <c r="B67" s="14" t="s">
        <v>11</v>
      </c>
      <c r="C67" s="16">
        <v>0</v>
      </c>
      <c r="D67" s="13">
        <v>62198.65</v>
      </c>
      <c r="E67" s="35">
        <f t="shared" si="1"/>
        <v>4351329.2199999969</v>
      </c>
      <c r="F67" s="32"/>
      <c r="I67"/>
    </row>
    <row r="68" spans="1:9" ht="15" x14ac:dyDescent="0.25">
      <c r="A68" s="15" t="s">
        <v>4</v>
      </c>
      <c r="B68" s="14" t="s">
        <v>11</v>
      </c>
      <c r="C68" s="16">
        <v>2157.6</v>
      </c>
      <c r="D68" s="13">
        <v>10242.26</v>
      </c>
      <c r="E68" s="35">
        <f t="shared" si="1"/>
        <v>4343244.5599999968</v>
      </c>
      <c r="F68" s="32"/>
      <c r="I68"/>
    </row>
    <row r="69" spans="1:9" ht="15" x14ac:dyDescent="0.25">
      <c r="A69" s="15" t="s">
        <v>9</v>
      </c>
      <c r="B69" s="14" t="s">
        <v>10</v>
      </c>
      <c r="C69" s="13">
        <v>320607.24</v>
      </c>
      <c r="D69" s="13">
        <v>206267.99</v>
      </c>
      <c r="E69" s="35">
        <f t="shared" si="1"/>
        <v>4457583.8099999968</v>
      </c>
      <c r="F69" s="33"/>
      <c r="I69"/>
    </row>
    <row r="70" spans="1:9" ht="15" x14ac:dyDescent="0.25">
      <c r="A70" s="15" t="s">
        <v>8</v>
      </c>
      <c r="B70" s="14" t="s">
        <v>10</v>
      </c>
      <c r="C70" s="13">
        <v>28985.4</v>
      </c>
      <c r="D70" s="13">
        <v>16758.650000000001</v>
      </c>
      <c r="E70" s="35">
        <f t="shared" si="1"/>
        <v>4469810.5599999968</v>
      </c>
      <c r="F70" s="32"/>
      <c r="I70"/>
    </row>
    <row r="71" spans="1:9" ht="15" x14ac:dyDescent="0.25">
      <c r="A71" s="15" t="s">
        <v>7</v>
      </c>
      <c r="B71" s="14" t="s">
        <v>10</v>
      </c>
      <c r="C71" s="13">
        <v>20780.240000000002</v>
      </c>
      <c r="D71" s="13">
        <v>27058.86</v>
      </c>
      <c r="E71" s="35">
        <f t="shared" si="1"/>
        <v>4463531.9399999967</v>
      </c>
      <c r="F71" s="32"/>
      <c r="I71"/>
    </row>
    <row r="72" spans="1:9" ht="15" x14ac:dyDescent="0.25">
      <c r="A72" s="15" t="s">
        <v>6</v>
      </c>
      <c r="B72" s="14" t="s">
        <v>10</v>
      </c>
      <c r="C72" s="13">
        <v>56600.02</v>
      </c>
      <c r="D72" s="13">
        <v>162761.87</v>
      </c>
      <c r="E72" s="35">
        <f t="shared" si="1"/>
        <v>4357370.0899999961</v>
      </c>
      <c r="F72" s="32"/>
      <c r="I72"/>
    </row>
    <row r="73" spans="1:9" ht="15" x14ac:dyDescent="0.25">
      <c r="A73" s="15" t="s">
        <v>5</v>
      </c>
      <c r="B73" s="14" t="s">
        <v>10</v>
      </c>
      <c r="C73" s="13">
        <v>40643.68</v>
      </c>
      <c r="D73" s="13">
        <v>111962.4</v>
      </c>
      <c r="E73" s="35">
        <f t="shared" si="1"/>
        <v>4286051.3699999955</v>
      </c>
      <c r="F73" s="32"/>
      <c r="I73"/>
    </row>
    <row r="74" spans="1:9" ht="15" x14ac:dyDescent="0.25">
      <c r="A74" s="15" t="s">
        <v>4</v>
      </c>
      <c r="B74" s="14" t="s">
        <v>10</v>
      </c>
      <c r="C74" s="13">
        <v>16240</v>
      </c>
      <c r="D74" s="13">
        <v>28650.49</v>
      </c>
      <c r="E74" s="35">
        <f t="shared" si="1"/>
        <v>4273640.8799999952</v>
      </c>
      <c r="F74" s="32"/>
      <c r="I74"/>
    </row>
    <row r="75" spans="1:9" ht="15" x14ac:dyDescent="0.25">
      <c r="A75" s="15" t="s">
        <v>9</v>
      </c>
      <c r="B75" s="14" t="s">
        <v>3</v>
      </c>
      <c r="C75" s="13">
        <v>0</v>
      </c>
      <c r="D75" s="13">
        <v>5260.5</v>
      </c>
      <c r="E75" s="35">
        <f t="shared" si="1"/>
        <v>4268380.3799999952</v>
      </c>
      <c r="F75" s="32"/>
      <c r="I75"/>
    </row>
    <row r="76" spans="1:9" ht="15" x14ac:dyDescent="0.25">
      <c r="A76" s="15" t="s">
        <v>8</v>
      </c>
      <c r="B76" s="14" t="s">
        <v>3</v>
      </c>
      <c r="C76" s="13">
        <v>0</v>
      </c>
      <c r="D76" s="13">
        <v>0</v>
      </c>
      <c r="E76" s="35">
        <f t="shared" si="1"/>
        <v>4268380.3799999952</v>
      </c>
      <c r="F76" s="32"/>
      <c r="I76"/>
    </row>
    <row r="77" spans="1:9" ht="15" x14ac:dyDescent="0.25">
      <c r="A77" s="15" t="s">
        <v>7</v>
      </c>
      <c r="B77" s="14" t="s">
        <v>3</v>
      </c>
      <c r="C77" s="13">
        <v>0</v>
      </c>
      <c r="D77" s="13">
        <v>5115.6000000000004</v>
      </c>
      <c r="E77" s="35">
        <f t="shared" si="1"/>
        <v>4263264.7799999956</v>
      </c>
      <c r="F77" s="32"/>
      <c r="I77"/>
    </row>
    <row r="78" spans="1:9" ht="15" x14ac:dyDescent="0.25">
      <c r="A78" s="15" t="s">
        <v>6</v>
      </c>
      <c r="B78" s="14" t="s">
        <v>3</v>
      </c>
      <c r="C78" s="13">
        <v>0</v>
      </c>
      <c r="D78" s="13">
        <v>1020.8</v>
      </c>
      <c r="E78" s="35">
        <f t="shared" si="1"/>
        <v>4262243.9799999958</v>
      </c>
      <c r="F78" s="33"/>
      <c r="I78"/>
    </row>
    <row r="79" spans="1:9" ht="15" x14ac:dyDescent="0.25">
      <c r="A79" s="15" t="s">
        <v>5</v>
      </c>
      <c r="B79" s="14" t="s">
        <v>3</v>
      </c>
      <c r="C79" s="13">
        <v>0</v>
      </c>
      <c r="D79" s="13">
        <v>23759.13</v>
      </c>
      <c r="E79" s="35">
        <f t="shared" si="1"/>
        <v>4238484.8499999959</v>
      </c>
      <c r="F79" s="32"/>
      <c r="I79"/>
    </row>
    <row r="80" spans="1:9" ht="15.75" thickBot="1" x14ac:dyDescent="0.3">
      <c r="A80" s="12" t="s">
        <v>4</v>
      </c>
      <c r="B80" s="11" t="s">
        <v>3</v>
      </c>
      <c r="C80" s="10">
        <v>37963.910000000003</v>
      </c>
      <c r="D80" s="10">
        <v>555.12</v>
      </c>
      <c r="E80" s="35">
        <f t="shared" si="1"/>
        <v>4275893.6399999959</v>
      </c>
      <c r="F80" s="32"/>
      <c r="I80"/>
    </row>
    <row r="81" spans="1:10" ht="15.75" thickBot="1" x14ac:dyDescent="0.3">
      <c r="A81" s="51" t="s">
        <v>2</v>
      </c>
      <c r="B81" s="52"/>
      <c r="C81" s="9">
        <f>SUM(C9:C80)</f>
        <v>3971798.0400000005</v>
      </c>
      <c r="D81" s="8">
        <f>SUM(D9:D80)</f>
        <v>3282722.7400000012</v>
      </c>
      <c r="E81" s="7">
        <f>C6+C81-D81</f>
        <v>4275893.6399999997</v>
      </c>
      <c r="I81"/>
    </row>
    <row r="82" spans="1:10" ht="15.75" thickBot="1" x14ac:dyDescent="0.3">
      <c r="A82" s="53" t="s">
        <v>35</v>
      </c>
      <c r="B82" s="54"/>
      <c r="C82" s="54"/>
      <c r="D82" s="55"/>
      <c r="E82" s="6">
        <f>E81</f>
        <v>4275893.6399999997</v>
      </c>
      <c r="I82"/>
    </row>
    <row r="83" spans="1:10" ht="15" x14ac:dyDescent="0.25">
      <c r="I83"/>
    </row>
    <row r="84" spans="1:10" ht="15" x14ac:dyDescent="0.25">
      <c r="I84"/>
    </row>
    <row r="85" spans="1:10" ht="15" x14ac:dyDescent="0.25">
      <c r="I85"/>
    </row>
    <row r="86" spans="1:10" ht="15" x14ac:dyDescent="0.25">
      <c r="I86"/>
    </row>
    <row r="87" spans="1:10" ht="15" x14ac:dyDescent="0.25">
      <c r="I87"/>
    </row>
    <row r="88" spans="1:10" ht="15" x14ac:dyDescent="0.25">
      <c r="I88"/>
    </row>
    <row r="89" spans="1:10" ht="15" x14ac:dyDescent="0.25">
      <c r="C89" s="3"/>
      <c r="D89" s="3"/>
      <c r="E89" s="4"/>
      <c r="I89"/>
      <c r="J89"/>
    </row>
    <row r="90" spans="1:10" ht="15" customHeight="1" x14ac:dyDescent="0.25">
      <c r="A90" s="56" t="s">
        <v>32</v>
      </c>
      <c r="B90" s="56"/>
      <c r="D90" s="57" t="s">
        <v>33</v>
      </c>
      <c r="E90" s="57"/>
      <c r="F90" s="57"/>
    </row>
    <row r="91" spans="1:10" ht="15" customHeight="1" x14ac:dyDescent="0.25">
      <c r="A91" s="44" t="s">
        <v>1</v>
      </c>
      <c r="B91" s="44"/>
      <c r="D91" s="44" t="s">
        <v>0</v>
      </c>
      <c r="E91" s="44"/>
      <c r="F91" s="44"/>
    </row>
  </sheetData>
  <mergeCells count="9">
    <mergeCell ref="A91:B91"/>
    <mergeCell ref="D91:F91"/>
    <mergeCell ref="A2:C2"/>
    <mergeCell ref="D2:D3"/>
    <mergeCell ref="A3:C3"/>
    <mergeCell ref="A81:B81"/>
    <mergeCell ref="A82:D82"/>
    <mergeCell ref="A90:B90"/>
    <mergeCell ref="D90:F90"/>
  </mergeCells>
  <pageMargins left="0.7" right="0.7" top="0.75" bottom="0.75" header="0.3" footer="0.3"/>
  <pageSetup scale="56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89A25E7DA8214EAE72EAB2354B00EE" ma:contentTypeVersion="4" ma:contentTypeDescription="Crear nuevo documento." ma:contentTypeScope="" ma:versionID="6bf71587bbaeddb5f82623a408b6fff6">
  <xsd:schema xmlns:xsd="http://www.w3.org/2001/XMLSchema" xmlns:xs="http://www.w3.org/2001/XMLSchema" xmlns:p="http://schemas.microsoft.com/office/2006/metadata/properties" xmlns:ns3="12d8e30d-f777-45f6-80c6-196e6495bd62" targetNamespace="http://schemas.microsoft.com/office/2006/metadata/properties" ma:root="true" ma:fieldsID="dd1e82161019ff62dd0a9a94ade95452" ns3:_="">
    <xsd:import namespace="12d8e30d-f777-45f6-80c6-196e6495bd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d8e30d-f777-45f6-80c6-196e6495bd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5B27C4-75EE-459B-896A-371945DA7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d8e30d-f777-45f6-80c6-196e6495bd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F9413B-977E-48D0-AABF-DF70F9F69C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C2E506-5359-4F27-92D4-1513859D6FC8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12d8e30d-f777-45f6-80c6-196e6495bd6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2026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UAQ</dc:creator>
  <cp:lastModifiedBy>Almacen Central</cp:lastModifiedBy>
  <cp:lastPrinted>2026-02-11T17:43:59Z</cp:lastPrinted>
  <dcterms:created xsi:type="dcterms:W3CDTF">2022-03-01T21:51:38Z</dcterms:created>
  <dcterms:modified xsi:type="dcterms:W3CDTF">2026-07-28T16:10:00Z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0x010100DA89A25E7DA8214EAE72EAB2354B00EE</vt:lpwstr>
  </property>
</Properties>
</file>